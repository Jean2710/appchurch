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SUD\Downloads\"/>
    </mc:Choice>
  </mc:AlternateContent>
  <xr:revisionPtr revIDLastSave="0" documentId="13_ncr:1_{A574A910-3A69-4E81-9392-85307A709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11" i="1" s="1"/>
  <c r="F11" i="1" s="1"/>
  <c r="D11" i="1"/>
  <c r="B11" i="1"/>
  <c r="E10" i="1"/>
  <c r="F10" i="1" s="1"/>
  <c r="C10" i="1"/>
  <c r="E9" i="1"/>
  <c r="F9" i="1" s="1"/>
  <c r="C9" i="1"/>
  <c r="E8" i="1"/>
  <c r="F8" i="1" s="1"/>
  <c r="C8" i="1"/>
  <c r="E7" i="1"/>
  <c r="F7" i="1" s="1"/>
  <c r="C7" i="1"/>
  <c r="E6" i="1"/>
  <c r="F6" i="1" s="1"/>
  <c r="C6" i="1"/>
  <c r="E5" i="1"/>
  <c r="F5" i="1" s="1"/>
  <c r="C5" i="1"/>
  <c r="E4" i="1"/>
  <c r="F4" i="1" s="1"/>
  <c r="C4" i="1"/>
  <c r="E3" i="1"/>
  <c r="F3" i="1" s="1"/>
  <c r="C3" i="1"/>
  <c r="C2" i="1"/>
  <c r="F2" i="1" l="1"/>
</calcChain>
</file>

<file path=xl/sharedStrings.xml><?xml version="1.0" encoding="utf-8"?>
<sst xmlns="http://schemas.openxmlformats.org/spreadsheetml/2006/main" count="16" uniqueCount="16">
  <si>
    <t>Categoria</t>
  </si>
  <si>
    <t>Orçamento Inicial (R$)</t>
  </si>
  <si>
    <t>Administração</t>
  </si>
  <si>
    <t>Primária</t>
  </si>
  <si>
    <t>Moças</t>
  </si>
  <si>
    <t>Rapazes</t>
  </si>
  <si>
    <t>Soc. Socorro</t>
  </si>
  <si>
    <t>Seminário</t>
  </si>
  <si>
    <t>Obra Missionária</t>
  </si>
  <si>
    <t>JAS</t>
  </si>
  <si>
    <t>Quórum</t>
  </si>
  <si>
    <t>Participação (%)</t>
  </si>
  <si>
    <t>Valor Gasto (R$)</t>
  </si>
  <si>
    <t>Saldo Atual (R$)</t>
  </si>
  <si>
    <t>% Restante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</si>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</sst>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164" fontId="0" fillId="2" borderId="1" xfId="0" applyNumberFormat="1" applyFill="1" applyBorder="1"/>
    <xf numFmtId="9" fontId="0" fillId="2" borderId="1" xfId="1" applyFont="1" applyFill="1" applyBorder="1"/>
    <xf numFmtId="10" fontId="0" fillId="2" borderId="1" xfId="0" applyNumberFormat="1" applyFill="1" applyBorder="1"/>
    <xf numFmtId="0" fontId="2" fillId="2" borderId="1" xfId="0" applyFont="1" applyFill="1" applyBorder="1"/>
    <xf numFmtId="164" fontId="1" fillId="2" borderId="1" xfId="0" applyNumberFormat="1" applyFont="1" applyFill="1" applyBorder="1"/>
    <xf numFmtId="9" fontId="0" fillId="2" borderId="1" xfId="1" applyNumberFormat="1" applyFont="1" applyFill="1" applyBorder="1"/>
    <xf numFmtId="0" fontId="0" fillId="2" borderId="2" xfId="0" applyFill="1" applyBorder="1"/>
    <xf numFmtId="10" fontId="0" fillId="2" borderId="3" xfId="0" applyNumberFormat="1" applyFill="1" applyBorder="1"/>
    <xf numFmtId="0" fontId="0" fillId="2" borderId="7" xfId="0" applyFill="1" applyBorder="1"/>
    <xf numFmtId="164" fontId="0" fillId="2" borderId="8" xfId="0" applyNumberFormat="1" applyFill="1" applyBorder="1"/>
    <xf numFmtId="9" fontId="0" fillId="2" borderId="8" xfId="1" applyFont="1" applyFill="1" applyBorder="1"/>
    <xf numFmtId="10" fontId="0" fillId="2" borderId="9" xfId="0" applyNumberFormat="1" applyFill="1" applyBorder="1"/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5" xfId="0" applyFont="1" applyFill="1" applyBorder="1"/>
    <xf numFmtId="0" fontId="4" fillId="0" borderId="6" xfId="0" applyFont="1" applyFill="1" applyBorder="1"/>
  </cellXfs>
  <cellStyles count="2">
    <cellStyle name="Normal" xfId="0" builtinId="0"/>
    <cellStyle name="Porcentagem" xfId="1" builtinId="5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0"/>
        </patternFill>
      </fill>
    </dxf>
    <dxf>
      <numFmt numFmtId="14" formatCode="0.00%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\R\$\ #,##0.00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R\$\ #,##0.00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R\$\ #,##0.00"/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F8C757-75BA-444D-B938-F9D5B8A43DB1}" name="Tabela2" displayName="Tabela2" ref="A1:F10" totalsRowShown="0" headerRowDxfId="0" dataDxfId="1" headerRowBorderDxfId="9" tableBorderDxfId="10" totalsRowBorderDxfId="8">
  <autoFilter ref="A1:F10" xr:uid="{3AF8C757-75BA-444D-B938-F9D5B8A43DB1}"/>
  <tableColumns count="6">
    <tableColumn id="1" xr3:uid="{178ABA63-D23A-40F9-A49C-5C368F1C6D8B}" name="Categoria" dataDxfId="7"/>
    <tableColumn id="2" xr3:uid="{54B9C166-17D5-4F07-BE07-7BF71EF43CDA}" name="Orçamento Inicial (R$)" dataDxfId="6"/>
    <tableColumn id="3" xr3:uid="{CD9C569D-0E7C-454D-8C3E-7BB52472D773}" name="Participação (%)" dataDxfId="5" dataCellStyle="Porcentagem">
      <calculatedColumnFormula>B2/SUM($B$2:$B$10)</calculatedColumnFormula>
    </tableColumn>
    <tableColumn id="4" xr3:uid="{524FFDBA-420C-4C03-98C7-26629D7A633B}" name="Valor Gasto (R$)" dataDxfId="4"/>
    <tableColumn id="5" xr3:uid="{B92221D7-51F7-4D33-852E-4D69CFDF165D}" name="Saldo Atual (R$)" dataDxfId="3">
      <calculatedColumnFormula>B2-D2</calculatedColumnFormula>
    </tableColumn>
    <tableColumn id="6" xr3:uid="{81A33ABD-7CE9-42E8-AC13-D857B5CE19AE}" name="% Restante" dataDxfId="2">
      <calculatedColumnFormula>E2/B2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selection activeCell="G14" sqref="G14"/>
    </sheetView>
  </sheetViews>
  <sheetFormatPr defaultRowHeight="14.4" x14ac:dyDescent="0.3"/>
  <cols>
    <col min="1" max="1" width="14.88671875" bestFit="1" customWidth="1"/>
    <col min="2" max="2" width="26.44140625" bestFit="1" customWidth="1"/>
    <col min="3" max="3" width="18.33203125" bestFit="1" customWidth="1"/>
    <col min="4" max="4" width="18.5546875" bestFit="1" customWidth="1"/>
    <col min="5" max="5" width="18.21875" bestFit="1" customWidth="1"/>
    <col min="6" max="6" width="13.6640625" bestFit="1" customWidth="1"/>
  </cols>
  <sheetData>
    <row r="1" spans="1:6" ht="15.6" x14ac:dyDescent="0.3">
      <c r="A1" s="13" t="s">
        <v>0</v>
      </c>
      <c r="B1" s="14" t="s">
        <v>1</v>
      </c>
      <c r="C1" s="15" t="s">
        <v>11</v>
      </c>
      <c r="D1" s="15" t="s">
        <v>12</v>
      </c>
      <c r="E1" s="15" t="s">
        <v>13</v>
      </c>
      <c r="F1" s="16" t="s">
        <v>14</v>
      </c>
    </row>
    <row r="2" spans="1:6" x14ac:dyDescent="0.3">
      <c r="A2" s="7" t="s">
        <v>2</v>
      </c>
      <c r="B2" s="1">
        <v>1000</v>
      </c>
      <c r="C2" s="2">
        <f t="shared" ref="C2:C10" si="0">B2/SUM($B$2:$B$10)</f>
        <v>0.25</v>
      </c>
      <c r="D2" s="1">
        <v>0</v>
      </c>
      <c r="E2" s="1">
        <f>B2-D2</f>
        <v>1000</v>
      </c>
      <c r="F2" s="8">
        <f t="shared" ref="F2:F11" si="1">E2/B2</f>
        <v>1</v>
      </c>
    </row>
    <row r="3" spans="1:6" x14ac:dyDescent="0.3">
      <c r="A3" s="7" t="s">
        <v>3</v>
      </c>
      <c r="B3" s="1">
        <v>600</v>
      </c>
      <c r="C3" s="2">
        <f t="shared" si="0"/>
        <v>0.15</v>
      </c>
      <c r="D3" s="1">
        <v>0</v>
      </c>
      <c r="E3" s="1">
        <f t="shared" ref="E2:E10" si="2">B3-D3</f>
        <v>600</v>
      </c>
      <c r="F3" s="8">
        <f t="shared" si="1"/>
        <v>1</v>
      </c>
    </row>
    <row r="4" spans="1:6" x14ac:dyDescent="0.3">
      <c r="A4" s="7" t="s">
        <v>4</v>
      </c>
      <c r="B4" s="1">
        <v>500</v>
      </c>
      <c r="C4" s="2">
        <f t="shared" si="0"/>
        <v>0.125</v>
      </c>
      <c r="D4" s="1">
        <v>0</v>
      </c>
      <c r="E4" s="1">
        <f t="shared" si="2"/>
        <v>500</v>
      </c>
      <c r="F4" s="8">
        <f t="shared" si="1"/>
        <v>1</v>
      </c>
    </row>
    <row r="5" spans="1:6" x14ac:dyDescent="0.3">
      <c r="A5" s="7" t="s">
        <v>5</v>
      </c>
      <c r="B5" s="1">
        <v>500</v>
      </c>
      <c r="C5" s="2">
        <f t="shared" si="0"/>
        <v>0.125</v>
      </c>
      <c r="D5" s="1">
        <v>0</v>
      </c>
      <c r="E5" s="1">
        <f t="shared" si="2"/>
        <v>500</v>
      </c>
      <c r="F5" s="8">
        <f t="shared" si="1"/>
        <v>1</v>
      </c>
    </row>
    <row r="6" spans="1:6" x14ac:dyDescent="0.3">
      <c r="A6" s="7" t="s">
        <v>6</v>
      </c>
      <c r="B6" s="1">
        <v>350</v>
      </c>
      <c r="C6" s="2">
        <f t="shared" si="0"/>
        <v>8.7499999999999994E-2</v>
      </c>
      <c r="D6" s="1">
        <v>0</v>
      </c>
      <c r="E6" s="1">
        <f t="shared" si="2"/>
        <v>350</v>
      </c>
      <c r="F6" s="8">
        <f t="shared" si="1"/>
        <v>1</v>
      </c>
    </row>
    <row r="7" spans="1:6" x14ac:dyDescent="0.3">
      <c r="A7" s="7" t="s">
        <v>7</v>
      </c>
      <c r="B7" s="1">
        <v>300</v>
      </c>
      <c r="C7" s="2">
        <f t="shared" si="0"/>
        <v>7.4999999999999997E-2</v>
      </c>
      <c r="D7" s="1">
        <v>0</v>
      </c>
      <c r="E7" s="1">
        <f t="shared" si="2"/>
        <v>300</v>
      </c>
      <c r="F7" s="8">
        <f t="shared" si="1"/>
        <v>1</v>
      </c>
    </row>
    <row r="8" spans="1:6" x14ac:dyDescent="0.3">
      <c r="A8" s="7" t="s">
        <v>8</v>
      </c>
      <c r="B8" s="1">
        <v>300</v>
      </c>
      <c r="C8" s="2">
        <f t="shared" si="0"/>
        <v>7.4999999999999997E-2</v>
      </c>
      <c r="D8" s="1">
        <v>0</v>
      </c>
      <c r="E8" s="1">
        <f t="shared" si="2"/>
        <v>300</v>
      </c>
      <c r="F8" s="8">
        <f t="shared" si="1"/>
        <v>1</v>
      </c>
    </row>
    <row r="9" spans="1:6" x14ac:dyDescent="0.3">
      <c r="A9" s="7" t="s">
        <v>9</v>
      </c>
      <c r="B9" s="1">
        <v>250</v>
      </c>
      <c r="C9" s="2">
        <f t="shared" si="0"/>
        <v>6.25E-2</v>
      </c>
      <c r="D9" s="1">
        <v>0</v>
      </c>
      <c r="E9" s="1">
        <f t="shared" si="2"/>
        <v>250</v>
      </c>
      <c r="F9" s="8">
        <f t="shared" si="1"/>
        <v>1</v>
      </c>
    </row>
    <row r="10" spans="1:6" x14ac:dyDescent="0.3">
      <c r="A10" s="9" t="s">
        <v>10</v>
      </c>
      <c r="B10" s="10">
        <v>200</v>
      </c>
      <c r="C10" s="11">
        <f t="shared" si="0"/>
        <v>0.05</v>
      </c>
      <c r="D10" s="10">
        <v>0</v>
      </c>
      <c r="E10" s="10">
        <f t="shared" si="2"/>
        <v>200</v>
      </c>
      <c r="F10" s="12">
        <f t="shared" si="1"/>
        <v>1</v>
      </c>
    </row>
    <row r="11" spans="1:6" x14ac:dyDescent="0.3">
      <c r="A11" s="4" t="s">
        <v>15</v>
      </c>
      <c r="B11" s="5">
        <f>SUM(B2:B10)</f>
        <v>4000</v>
      </c>
      <c r="C11" s="6">
        <v>1</v>
      </c>
      <c r="D11" s="5">
        <f>SUM(D2:D10)</f>
        <v>0</v>
      </c>
      <c r="E11" s="5">
        <f>SUM(E2:E10)</f>
        <v>4000</v>
      </c>
      <c r="F11" s="3">
        <f t="shared" si="1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 Rodrigues de Melo Silva</cp:lastModifiedBy>
  <dcterms:created xsi:type="dcterms:W3CDTF">2026-02-16T15:00:39Z</dcterms:created>
  <dcterms:modified xsi:type="dcterms:W3CDTF">2026-02-16T15:16:05Z</dcterms:modified>
</cp:coreProperties>
</file>